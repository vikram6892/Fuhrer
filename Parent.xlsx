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s35494\Desktop\Otunar\"/>
    </mc:Choice>
  </mc:AlternateContent>
  <bookViews>
    <workbookView xWindow="0" yWindow="0" windowWidth="28800" windowHeight="12435"/>
  </bookViews>
  <sheets>
    <sheet name="Parents" sheetId="1" r:id="rId1"/>
    <sheet name="Tabelle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1" l="1"/>
  <c r="C6" i="1" l="1"/>
  <c r="I17" i="1" l="1"/>
  <c r="E4" i="1" l="1"/>
  <c r="C35" i="1" l="1"/>
  <c r="T12" i="1" l="1"/>
  <c r="B4" i="1" l="1"/>
  <c r="C30" i="1" l="1"/>
  <c r="C29" i="1"/>
  <c r="H17" i="1" l="1"/>
  <c r="G17" i="1"/>
  <c r="F17" i="1"/>
  <c r="D17" i="1"/>
  <c r="C17" i="1"/>
  <c r="B17" i="1"/>
  <c r="T3" i="1" l="1"/>
  <c r="P9" i="1"/>
  <c r="P8" i="1"/>
  <c r="P7" i="1"/>
  <c r="P6" i="1"/>
  <c r="P5" i="1"/>
  <c r="P4" i="1"/>
  <c r="E17" i="1" l="1"/>
  <c r="O11" i="1"/>
  <c r="M11" i="1"/>
  <c r="L11" i="1"/>
  <c r="P11" i="1" s="1"/>
  <c r="T13" i="1" l="1"/>
</calcChain>
</file>

<file path=xl/sharedStrings.xml><?xml version="1.0" encoding="utf-8"?>
<sst xmlns="http://schemas.openxmlformats.org/spreadsheetml/2006/main" count="80" uniqueCount="73">
  <si>
    <t>Rent</t>
  </si>
  <si>
    <t>Food</t>
  </si>
  <si>
    <t>Flight</t>
  </si>
  <si>
    <t>Trolley</t>
  </si>
  <si>
    <t>Insurance</t>
  </si>
  <si>
    <t>Room rent</t>
  </si>
  <si>
    <t>Kodhanam</t>
  </si>
  <si>
    <t>May</t>
  </si>
  <si>
    <t>June</t>
  </si>
  <si>
    <t>Balance</t>
  </si>
  <si>
    <t>India</t>
  </si>
  <si>
    <t>April</t>
  </si>
  <si>
    <t>March</t>
  </si>
  <si>
    <t>February</t>
  </si>
  <si>
    <t>January</t>
  </si>
  <si>
    <t>Food + Hotel</t>
  </si>
  <si>
    <t xml:space="preserve">Swiss </t>
  </si>
  <si>
    <t>Airbnb Stay</t>
  </si>
  <si>
    <t>Car Rent</t>
  </si>
  <si>
    <t>Fuel</t>
  </si>
  <si>
    <t>Parking</t>
  </si>
  <si>
    <t>Entrance</t>
  </si>
  <si>
    <t>France</t>
  </si>
  <si>
    <t>Germany / Austria</t>
  </si>
  <si>
    <t>July</t>
  </si>
  <si>
    <t>Total</t>
  </si>
  <si>
    <t>Expenses</t>
  </si>
  <si>
    <t>Account</t>
  </si>
  <si>
    <t>Itirenary</t>
  </si>
  <si>
    <t>Salary</t>
  </si>
  <si>
    <t>Savings</t>
  </si>
  <si>
    <t>Winsim, Insurance</t>
  </si>
  <si>
    <t>Entry Ticket</t>
  </si>
  <si>
    <t>Vatican Museum</t>
  </si>
  <si>
    <t>Florence Museum</t>
  </si>
  <si>
    <t>Venice Museum</t>
  </si>
  <si>
    <t>Eiffel Tower</t>
  </si>
  <si>
    <t>16 x3</t>
  </si>
  <si>
    <t>21 x 3</t>
  </si>
  <si>
    <t>25 x 3</t>
  </si>
  <si>
    <t>18 x 3</t>
  </si>
  <si>
    <t>30 x 3</t>
  </si>
  <si>
    <t>Colesseum, Palatine, Forum</t>
  </si>
  <si>
    <t>Pisa, Baptistry, Museum</t>
  </si>
  <si>
    <t>26 x 3</t>
  </si>
  <si>
    <t>Mona Lisa Museum</t>
  </si>
  <si>
    <t>17 x 3</t>
  </si>
  <si>
    <t>Zugspitte</t>
  </si>
  <si>
    <t>35 * 3</t>
  </si>
  <si>
    <t>SimCard</t>
  </si>
  <si>
    <t>Loan</t>
  </si>
  <si>
    <t>License</t>
  </si>
  <si>
    <t>Gebührenfrei</t>
  </si>
  <si>
    <t>Medicine List</t>
  </si>
  <si>
    <t>Fever</t>
  </si>
  <si>
    <t>Cold</t>
  </si>
  <si>
    <t>Mouth Ulcer</t>
  </si>
  <si>
    <t>Dysentry</t>
  </si>
  <si>
    <t>Sugar</t>
  </si>
  <si>
    <t>Eye</t>
  </si>
  <si>
    <t>Hrishikesh</t>
  </si>
  <si>
    <t>Neuschwanstein</t>
  </si>
  <si>
    <t>13 * 3</t>
  </si>
  <si>
    <t>Königsee</t>
  </si>
  <si>
    <t xml:space="preserve">20 * 3 </t>
  </si>
  <si>
    <t xml:space="preserve">Total </t>
  </si>
  <si>
    <t>August</t>
  </si>
  <si>
    <t>Shoes</t>
  </si>
  <si>
    <t>Sperrkonto</t>
  </si>
  <si>
    <t>-</t>
  </si>
  <si>
    <t>Koblenz trip</t>
  </si>
  <si>
    <t>Ob Letter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</si>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</sst>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CC339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0" borderId="0" xfId="0" applyBorder="1"/>
    <xf numFmtId="0" fontId="1" fillId="0" borderId="0" xfId="0" applyFont="1" applyBorder="1"/>
    <xf numFmtId="0" fontId="0" fillId="0" borderId="1" xfId="0" applyFill="1" applyBorder="1"/>
    <xf numFmtId="0" fontId="3" fillId="0" borderId="1" xfId="0" applyFont="1" applyBorder="1"/>
    <xf numFmtId="0" fontId="1" fillId="0" borderId="5" xfId="0" applyFont="1" applyFill="1" applyBorder="1"/>
    <xf numFmtId="0" fontId="4" fillId="0" borderId="0" xfId="0" applyFont="1"/>
    <xf numFmtId="0" fontId="0" fillId="0" borderId="0" xfId="0" applyFill="1" applyBorder="1"/>
    <xf numFmtId="0" fontId="0" fillId="0" borderId="0" xfId="0" applyFill="1"/>
    <xf numFmtId="0" fontId="5" fillId="0" borderId="0" xfId="0" applyFont="1" applyFill="1" applyBorder="1"/>
    <xf numFmtId="0" fontId="4" fillId="0" borderId="0" xfId="0" applyFont="1" applyFill="1" applyBorder="1"/>
    <xf numFmtId="0" fontId="0" fillId="0" borderId="4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C33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35"/>
  <sheetViews>
    <sheetView tabSelected="1" zoomScale="85" zoomScaleNormal="85" workbookViewId="0">
      <selection activeCell="N5" sqref="N5"/>
    </sheetView>
  </sheetViews>
  <sheetFormatPr baseColWidth="10" defaultColWidth="11.5703125" defaultRowHeight="15" x14ac:dyDescent="0.25"/>
  <cols>
    <col min="1" max="1" width="26" bestFit="1" customWidth="1"/>
    <col min="2" max="3" width="9.42578125" style="19" customWidth="1"/>
    <col min="4" max="4" width="7.28515625" style="19" customWidth="1"/>
    <col min="5" max="5" width="9.140625" style="19" customWidth="1"/>
    <col min="6" max="6" width="8.42578125" style="19" customWidth="1"/>
    <col min="7" max="7" width="8.28515625" style="19" customWidth="1"/>
    <col min="8" max="8" width="9.5703125" style="19" customWidth="1"/>
    <col min="9" max="9" width="8.5703125" style="19" customWidth="1"/>
    <col min="10" max="10" width="8.5703125" customWidth="1"/>
    <col min="15" max="15" width="17.140625" customWidth="1"/>
    <col min="16" max="16" width="12.140625" customWidth="1"/>
    <col min="18" max="18" width="7.5703125" customWidth="1"/>
    <col min="22" max="22" width="13.140625" customWidth="1"/>
  </cols>
  <sheetData>
    <row r="2" spans="1:22" x14ac:dyDescent="0.25">
      <c r="A2" s="26" t="s">
        <v>30</v>
      </c>
      <c r="B2" s="26"/>
      <c r="C2" s="26"/>
      <c r="D2" s="26"/>
      <c r="E2" s="26"/>
      <c r="F2" s="26"/>
      <c r="G2" s="26"/>
      <c r="H2" s="27"/>
      <c r="K2" s="28" t="s">
        <v>28</v>
      </c>
      <c r="L2" s="29"/>
      <c r="M2" s="29"/>
      <c r="N2" s="29"/>
      <c r="O2" s="29"/>
      <c r="P2" s="29"/>
      <c r="Q2" s="30"/>
      <c r="S2" s="28" t="s">
        <v>26</v>
      </c>
      <c r="T2" s="30"/>
      <c r="V2" t="s">
        <v>53</v>
      </c>
    </row>
    <row r="3" spans="1:22" x14ac:dyDescent="0.25">
      <c r="A3" s="1"/>
      <c r="B3" s="15" t="s">
        <v>14</v>
      </c>
      <c r="C3" s="15" t="s">
        <v>13</v>
      </c>
      <c r="D3" s="15" t="s">
        <v>12</v>
      </c>
      <c r="E3" s="15" t="s">
        <v>11</v>
      </c>
      <c r="F3" s="15" t="s">
        <v>7</v>
      </c>
      <c r="G3" s="21" t="s">
        <v>8</v>
      </c>
      <c r="H3" s="15" t="s">
        <v>24</v>
      </c>
      <c r="I3" s="22" t="s">
        <v>66</v>
      </c>
      <c r="K3" s="1"/>
      <c r="L3" s="2" t="s">
        <v>16</v>
      </c>
      <c r="M3" s="2" t="s">
        <v>22</v>
      </c>
      <c r="N3" s="2" t="s">
        <v>72</v>
      </c>
      <c r="O3" s="2" t="s">
        <v>23</v>
      </c>
      <c r="P3" s="2" t="s">
        <v>25</v>
      </c>
      <c r="S3" s="2" t="s">
        <v>27</v>
      </c>
      <c r="T3" s="2">
        <f>SUM(B17:I17)</f>
        <v>5592</v>
      </c>
      <c r="V3" t="s">
        <v>54</v>
      </c>
    </row>
    <row r="4" spans="1:22" x14ac:dyDescent="0.25">
      <c r="A4" s="7" t="s">
        <v>29</v>
      </c>
      <c r="B4" s="16">
        <f>2394+350</f>
        <v>2744</v>
      </c>
      <c r="C4" s="16">
        <v>2364</v>
      </c>
      <c r="D4" s="16">
        <v>2364</v>
      </c>
      <c r="E4" s="16">
        <f>2364+1450</f>
        <v>3814</v>
      </c>
      <c r="F4" s="16">
        <v>2364</v>
      </c>
      <c r="G4" s="23">
        <v>2364</v>
      </c>
      <c r="H4" s="16">
        <v>2364</v>
      </c>
      <c r="I4" s="24">
        <v>2364</v>
      </c>
      <c r="K4" s="1" t="s">
        <v>17</v>
      </c>
      <c r="L4" s="1">
        <v>350</v>
      </c>
      <c r="M4" s="1">
        <v>140</v>
      </c>
      <c r="N4" s="1">
        <v>400</v>
      </c>
      <c r="O4" s="1">
        <v>180</v>
      </c>
      <c r="P4" s="1">
        <f t="shared" ref="P4:P9" si="0">SUM(L4:O4)</f>
        <v>1070</v>
      </c>
      <c r="S4" s="3" t="s">
        <v>2</v>
      </c>
      <c r="T4" s="3">
        <v>1620</v>
      </c>
      <c r="V4" t="s">
        <v>55</v>
      </c>
    </row>
    <row r="5" spans="1:22" x14ac:dyDescent="0.25">
      <c r="A5" s="1"/>
      <c r="B5" s="17"/>
      <c r="C5" s="17"/>
      <c r="D5" s="17"/>
      <c r="E5" s="17"/>
      <c r="F5" s="17"/>
      <c r="G5" s="25"/>
      <c r="H5" s="17"/>
      <c r="I5" s="17"/>
      <c r="K5" s="1" t="s">
        <v>18</v>
      </c>
      <c r="L5" s="1">
        <v>150</v>
      </c>
      <c r="M5" s="1">
        <v>300</v>
      </c>
      <c r="N5" s="1"/>
      <c r="O5" s="1">
        <v>120</v>
      </c>
      <c r="P5" s="1">
        <f t="shared" si="0"/>
        <v>570</v>
      </c>
      <c r="S5" s="1" t="s">
        <v>71</v>
      </c>
      <c r="T5" s="1">
        <v>29</v>
      </c>
      <c r="V5" t="s">
        <v>56</v>
      </c>
    </row>
    <row r="6" spans="1:22" x14ac:dyDescent="0.25">
      <c r="A6" s="1" t="s">
        <v>10</v>
      </c>
      <c r="B6" s="17">
        <v>575</v>
      </c>
      <c r="C6" s="17">
        <f>650+305</f>
        <v>955</v>
      </c>
      <c r="D6" s="17">
        <v>700</v>
      </c>
      <c r="E6" s="17">
        <v>600</v>
      </c>
      <c r="F6" s="17">
        <v>650</v>
      </c>
      <c r="G6" s="25">
        <v>600</v>
      </c>
      <c r="H6" s="17">
        <v>400</v>
      </c>
      <c r="I6" s="18">
        <v>400</v>
      </c>
      <c r="K6" s="1" t="s">
        <v>1</v>
      </c>
      <c r="L6" s="1">
        <v>150</v>
      </c>
      <c r="M6" s="1">
        <v>150</v>
      </c>
      <c r="N6" s="1"/>
      <c r="O6" s="1">
        <v>100</v>
      </c>
      <c r="P6" s="1">
        <f t="shared" si="0"/>
        <v>400</v>
      </c>
      <c r="S6" s="1" t="s">
        <v>67</v>
      </c>
      <c r="T6" s="1">
        <v>60</v>
      </c>
      <c r="V6" t="s">
        <v>57</v>
      </c>
    </row>
    <row r="7" spans="1:22" x14ac:dyDescent="0.25">
      <c r="A7" s="1" t="s">
        <v>0</v>
      </c>
      <c r="B7" s="17">
        <v>300</v>
      </c>
      <c r="C7" s="17">
        <v>300</v>
      </c>
      <c r="D7" s="17">
        <v>300</v>
      </c>
      <c r="E7" s="17">
        <v>300</v>
      </c>
      <c r="F7" s="17">
        <v>300</v>
      </c>
      <c r="G7" s="25">
        <v>300</v>
      </c>
      <c r="H7" s="17">
        <v>300</v>
      </c>
      <c r="I7" s="18">
        <v>300</v>
      </c>
      <c r="K7" s="1" t="s">
        <v>19</v>
      </c>
      <c r="L7" s="1">
        <v>50</v>
      </c>
      <c r="M7" s="1">
        <v>0</v>
      </c>
      <c r="N7" s="1"/>
      <c r="O7" s="1">
        <v>30</v>
      </c>
      <c r="P7" s="1">
        <f t="shared" si="0"/>
        <v>80</v>
      </c>
      <c r="S7" s="1" t="s">
        <v>3</v>
      </c>
      <c r="T7" s="1">
        <v>120</v>
      </c>
      <c r="V7" t="s">
        <v>58</v>
      </c>
    </row>
    <row r="8" spans="1:22" x14ac:dyDescent="0.25">
      <c r="A8" s="1" t="s">
        <v>15</v>
      </c>
      <c r="B8" s="17">
        <v>50</v>
      </c>
      <c r="C8" s="17">
        <v>120</v>
      </c>
      <c r="D8" s="17">
        <v>150</v>
      </c>
      <c r="E8" s="17">
        <v>120</v>
      </c>
      <c r="F8" s="17">
        <v>120</v>
      </c>
      <c r="G8" s="25">
        <v>120</v>
      </c>
      <c r="H8" s="17">
        <v>120</v>
      </c>
      <c r="I8" s="18">
        <v>100</v>
      </c>
      <c r="K8" s="1" t="s">
        <v>20</v>
      </c>
      <c r="L8" s="1">
        <v>50</v>
      </c>
      <c r="M8" s="1">
        <v>0</v>
      </c>
      <c r="N8" s="1"/>
      <c r="O8" s="1">
        <v>30</v>
      </c>
      <c r="P8" s="1">
        <f t="shared" si="0"/>
        <v>80</v>
      </c>
      <c r="S8" s="1" t="s">
        <v>4</v>
      </c>
      <c r="T8" s="1">
        <v>150</v>
      </c>
      <c r="V8" t="s">
        <v>59</v>
      </c>
    </row>
    <row r="9" spans="1:22" x14ac:dyDescent="0.25">
      <c r="A9" s="1" t="s">
        <v>6</v>
      </c>
      <c r="B9" s="17">
        <v>13</v>
      </c>
      <c r="C9" s="17">
        <v>19</v>
      </c>
      <c r="D9" s="17">
        <v>13</v>
      </c>
      <c r="E9" s="17">
        <v>13</v>
      </c>
      <c r="F9" s="17">
        <v>13</v>
      </c>
      <c r="G9" s="25">
        <v>13</v>
      </c>
      <c r="H9" s="17">
        <v>13</v>
      </c>
      <c r="I9" s="18">
        <v>13</v>
      </c>
      <c r="K9" s="1" t="s">
        <v>21</v>
      </c>
      <c r="L9" s="1">
        <v>350</v>
      </c>
      <c r="M9" s="3">
        <v>130</v>
      </c>
      <c r="N9" s="3"/>
      <c r="O9" s="3">
        <v>100</v>
      </c>
      <c r="P9" s="1">
        <f t="shared" si="0"/>
        <v>580</v>
      </c>
      <c r="S9" s="1" t="s">
        <v>5</v>
      </c>
      <c r="T9" s="14">
        <v>200</v>
      </c>
      <c r="V9" t="s">
        <v>60</v>
      </c>
    </row>
    <row r="10" spans="1:22" x14ac:dyDescent="0.25">
      <c r="A10" s="1" t="s">
        <v>50</v>
      </c>
      <c r="B10" s="17">
        <v>688</v>
      </c>
      <c r="C10" s="17">
        <v>688</v>
      </c>
      <c r="D10" s="17">
        <v>688</v>
      </c>
      <c r="E10" s="17">
        <v>688</v>
      </c>
      <c r="F10" s="17">
        <v>688</v>
      </c>
      <c r="G10" s="25">
        <v>688</v>
      </c>
      <c r="H10" s="17">
        <v>688</v>
      </c>
      <c r="I10" s="18">
        <v>688</v>
      </c>
      <c r="K10" s="1"/>
      <c r="L10" s="1"/>
      <c r="M10" s="1"/>
      <c r="N10" s="1"/>
      <c r="O10" s="1"/>
      <c r="P10" s="1"/>
      <c r="S10" s="1" t="s">
        <v>1</v>
      </c>
      <c r="T10" s="14">
        <v>250</v>
      </c>
    </row>
    <row r="11" spans="1:22" x14ac:dyDescent="0.25">
      <c r="A11" s="6" t="s">
        <v>51</v>
      </c>
      <c r="B11" s="18">
        <v>950</v>
      </c>
      <c r="C11" s="18" t="s">
        <v>69</v>
      </c>
      <c r="D11" s="18"/>
      <c r="E11" s="17"/>
      <c r="F11" s="17"/>
      <c r="G11" s="25"/>
      <c r="H11" s="17"/>
      <c r="I11" s="17"/>
      <c r="K11" s="1"/>
      <c r="L11" s="1">
        <f>SUM(L4:L9)</f>
        <v>1100</v>
      </c>
      <c r="M11" s="1">
        <f>SUM(M4:M9)</f>
        <v>720</v>
      </c>
      <c r="N11" s="1"/>
      <c r="O11" s="1">
        <f>SUM(O4:O9)</f>
        <v>560</v>
      </c>
      <c r="P11" s="2">
        <f>L11+M11+O11</f>
        <v>2380</v>
      </c>
      <c r="S11" s="1" t="s">
        <v>49</v>
      </c>
      <c r="T11" s="14">
        <v>25</v>
      </c>
    </row>
    <row r="12" spans="1:22" x14ac:dyDescent="0.25">
      <c r="A12" s="6" t="s">
        <v>68</v>
      </c>
      <c r="B12" s="18" t="s">
        <v>69</v>
      </c>
      <c r="C12" s="18">
        <v>100</v>
      </c>
      <c r="D12" s="18"/>
      <c r="E12" s="17"/>
      <c r="F12" s="17"/>
      <c r="G12" s="25"/>
      <c r="H12" s="17"/>
      <c r="I12" s="17"/>
      <c r="K12" s="4"/>
      <c r="L12" s="4"/>
      <c r="M12" s="4"/>
      <c r="N12" s="4"/>
      <c r="O12" s="4"/>
      <c r="P12" s="4"/>
      <c r="Q12" s="5"/>
      <c r="S12" s="8" t="s">
        <v>65</v>
      </c>
      <c r="T12" s="2">
        <f>SUM(T4:T11)</f>
        <v>2454</v>
      </c>
    </row>
    <row r="13" spans="1:22" x14ac:dyDescent="0.25">
      <c r="A13" s="6" t="s">
        <v>70</v>
      </c>
      <c r="B13" s="18"/>
      <c r="C13" s="18">
        <v>60</v>
      </c>
      <c r="D13" s="18"/>
      <c r="E13" s="17"/>
      <c r="F13" s="17"/>
      <c r="G13" s="25"/>
      <c r="H13" s="17"/>
      <c r="I13" s="17"/>
      <c r="K13" s="4"/>
      <c r="L13" s="4"/>
      <c r="M13" s="4"/>
      <c r="N13" s="4"/>
      <c r="O13" s="4"/>
      <c r="P13" s="4"/>
      <c r="Q13" s="5"/>
      <c r="S13" s="2" t="s">
        <v>9</v>
      </c>
      <c r="T13" s="2">
        <f>T3-SUM(T4:T11)</f>
        <v>3138</v>
      </c>
    </row>
    <row r="14" spans="1:22" x14ac:dyDescent="0.25">
      <c r="A14" s="6" t="s">
        <v>52</v>
      </c>
      <c r="B14" s="18">
        <v>90</v>
      </c>
      <c r="C14" s="18">
        <v>30</v>
      </c>
      <c r="D14" s="18">
        <v>30</v>
      </c>
      <c r="E14" s="17"/>
      <c r="F14" s="17"/>
      <c r="G14" s="25"/>
      <c r="H14" s="17"/>
      <c r="I14" s="17"/>
      <c r="K14" s="4"/>
      <c r="L14" s="4"/>
      <c r="M14" s="4"/>
      <c r="N14" s="4"/>
      <c r="O14" s="4"/>
      <c r="P14" s="4"/>
      <c r="Q14" s="5"/>
      <c r="S14" s="5"/>
      <c r="T14" s="5"/>
    </row>
    <row r="15" spans="1:22" x14ac:dyDescent="0.25">
      <c r="A15" s="1" t="s">
        <v>31</v>
      </c>
      <c r="B15" s="17">
        <v>12</v>
      </c>
      <c r="C15" s="17">
        <v>12</v>
      </c>
      <c r="D15" s="17">
        <v>12</v>
      </c>
      <c r="E15" s="17">
        <v>12</v>
      </c>
      <c r="F15" s="17">
        <v>12</v>
      </c>
      <c r="G15" s="25">
        <v>12</v>
      </c>
      <c r="H15" s="17">
        <v>12</v>
      </c>
      <c r="I15" s="17">
        <v>12</v>
      </c>
      <c r="K15" s="4"/>
      <c r="L15" s="10"/>
      <c r="M15" s="4"/>
      <c r="N15" s="4"/>
      <c r="O15" s="4"/>
      <c r="P15" s="4"/>
      <c r="Q15" s="5"/>
      <c r="S15" s="5"/>
      <c r="T15" s="5"/>
    </row>
    <row r="16" spans="1:22" x14ac:dyDescent="0.25">
      <c r="H16" s="17"/>
      <c r="I16" s="17"/>
      <c r="L16" s="11"/>
    </row>
    <row r="17" spans="1:15" x14ac:dyDescent="0.25">
      <c r="B17" s="17">
        <f t="shared" ref="B17:H17" si="1">B4-SUM(B6:B15)</f>
        <v>66</v>
      </c>
      <c r="C17" s="17">
        <f t="shared" si="1"/>
        <v>80</v>
      </c>
      <c r="D17" s="17">
        <f t="shared" si="1"/>
        <v>471</v>
      </c>
      <c r="E17" s="17">
        <f t="shared" si="1"/>
        <v>2081</v>
      </c>
      <c r="F17" s="17">
        <f t="shared" si="1"/>
        <v>581</v>
      </c>
      <c r="G17" s="25">
        <f t="shared" si="1"/>
        <v>631</v>
      </c>
      <c r="H17" s="17">
        <f t="shared" si="1"/>
        <v>831</v>
      </c>
      <c r="I17" s="17">
        <f>SUM(I4-(I6+I7+I8+I9+I10 + I15))</f>
        <v>851</v>
      </c>
      <c r="L17" s="11"/>
    </row>
    <row r="18" spans="1:15" x14ac:dyDescent="0.25">
      <c r="K18" s="4"/>
      <c r="L18" s="10"/>
    </row>
    <row r="19" spans="1:15" x14ac:dyDescent="0.25">
      <c r="K19" s="4"/>
      <c r="L19" s="12"/>
    </row>
    <row r="20" spans="1:15" x14ac:dyDescent="0.25">
      <c r="K20" s="4"/>
      <c r="L20" s="13"/>
    </row>
    <row r="21" spans="1:15" x14ac:dyDescent="0.25">
      <c r="A21" s="31" t="s">
        <v>32</v>
      </c>
      <c r="B21" s="31"/>
      <c r="C21" s="31"/>
      <c r="K21" s="4"/>
      <c r="L21" s="13"/>
      <c r="O21">
        <v>1620</v>
      </c>
    </row>
    <row r="22" spans="1:15" x14ac:dyDescent="0.25">
      <c r="K22" s="4"/>
      <c r="L22" s="13"/>
      <c r="O22">
        <v>29</v>
      </c>
    </row>
    <row r="23" spans="1:15" x14ac:dyDescent="0.25">
      <c r="A23" s="9" t="s">
        <v>42</v>
      </c>
      <c r="B23" s="20" t="s">
        <v>37</v>
      </c>
      <c r="C23" s="20">
        <v>48</v>
      </c>
      <c r="K23" s="4"/>
      <c r="L23" s="13"/>
      <c r="O23">
        <v>8</v>
      </c>
    </row>
    <row r="24" spans="1:15" x14ac:dyDescent="0.25">
      <c r="A24" s="9" t="s">
        <v>33</v>
      </c>
      <c r="B24" s="20" t="s">
        <v>38</v>
      </c>
      <c r="C24" s="20">
        <v>63</v>
      </c>
      <c r="K24" s="4"/>
      <c r="L24" s="13"/>
    </row>
    <row r="25" spans="1:15" x14ac:dyDescent="0.25">
      <c r="A25" s="9" t="s">
        <v>43</v>
      </c>
      <c r="B25" s="20" t="s">
        <v>39</v>
      </c>
      <c r="C25" s="20">
        <v>75</v>
      </c>
      <c r="K25" s="4"/>
      <c r="L25" s="13"/>
    </row>
    <row r="26" spans="1:15" x14ac:dyDescent="0.25">
      <c r="A26" s="9" t="s">
        <v>34</v>
      </c>
      <c r="B26" s="20" t="s">
        <v>40</v>
      </c>
      <c r="C26" s="20">
        <v>54</v>
      </c>
      <c r="K26" s="4"/>
      <c r="L26" s="13"/>
    </row>
    <row r="27" spans="1:15" x14ac:dyDescent="0.25">
      <c r="A27" s="9" t="s">
        <v>35</v>
      </c>
      <c r="B27" s="20" t="s">
        <v>41</v>
      </c>
      <c r="C27" s="20">
        <v>90</v>
      </c>
      <c r="K27" s="4"/>
      <c r="L27" s="13"/>
    </row>
    <row r="28" spans="1:15" x14ac:dyDescent="0.25">
      <c r="K28" s="4"/>
      <c r="L28" s="10"/>
    </row>
    <row r="29" spans="1:15" x14ac:dyDescent="0.25">
      <c r="A29" t="s">
        <v>36</v>
      </c>
      <c r="B29" s="19" t="s">
        <v>44</v>
      </c>
      <c r="C29" s="19">
        <f>26*3</f>
        <v>78</v>
      </c>
      <c r="K29" s="4"/>
      <c r="L29" s="10"/>
    </row>
    <row r="30" spans="1:15" x14ac:dyDescent="0.25">
      <c r="A30" t="s">
        <v>45</v>
      </c>
      <c r="B30" s="19" t="s">
        <v>46</v>
      </c>
      <c r="C30" s="19">
        <f>51</f>
        <v>51</v>
      </c>
      <c r="H30" s="19">
        <v>2450</v>
      </c>
      <c r="L30" s="11"/>
    </row>
    <row r="31" spans="1:15" x14ac:dyDescent="0.25">
      <c r="A31" t="s">
        <v>47</v>
      </c>
      <c r="B31" s="19" t="s">
        <v>48</v>
      </c>
      <c r="C31" s="19">
        <v>105</v>
      </c>
      <c r="G31" s="19" t="s">
        <v>51</v>
      </c>
      <c r="H31" s="19">
        <v>950</v>
      </c>
      <c r="L31" s="11"/>
    </row>
    <row r="32" spans="1:15" x14ac:dyDescent="0.25">
      <c r="A32" t="s">
        <v>61</v>
      </c>
      <c r="B32" s="19" t="s">
        <v>62</v>
      </c>
      <c r="C32" s="19">
        <v>39</v>
      </c>
      <c r="G32" s="19" t="s">
        <v>59</v>
      </c>
      <c r="H32" s="19">
        <v>320</v>
      </c>
      <c r="L32" s="11"/>
    </row>
    <row r="33" spans="1:12" x14ac:dyDescent="0.25">
      <c r="A33" t="s">
        <v>63</v>
      </c>
      <c r="B33" s="19" t="s">
        <v>64</v>
      </c>
      <c r="C33" s="19">
        <v>60</v>
      </c>
      <c r="G33" s="19" t="s">
        <v>50</v>
      </c>
      <c r="H33" s="19">
        <v>688</v>
      </c>
      <c r="L33" s="11"/>
    </row>
    <row r="34" spans="1:12" x14ac:dyDescent="0.25">
      <c r="L34" s="11"/>
    </row>
    <row r="35" spans="1:12" x14ac:dyDescent="0.25">
      <c r="B35" s="19" t="s">
        <v>25</v>
      </c>
      <c r="C35" s="19">
        <f>SUM(C29:C33)</f>
        <v>333</v>
      </c>
      <c r="G35" s="19" t="s">
        <v>9</v>
      </c>
      <c r="H35" s="19">
        <f>H30-H31-H32-H33</f>
        <v>492</v>
      </c>
    </row>
  </sheetData>
  <mergeCells count="4">
    <mergeCell ref="A2:H2"/>
    <mergeCell ref="K2:Q2"/>
    <mergeCell ref="S2:T2"/>
    <mergeCell ref="A21:C21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0" sqref="G1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Parents</vt:lpstr>
      <vt:lpstr>Tabelle1</vt:lpstr>
    </vt:vector>
  </TitlesOfParts>
  <Company>EKS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Thiruvikraman Sourirajalu - TS35494</dc:creator>
  <cp:lastModifiedBy>Thiruvikraman Sourirajalu - TS35494</cp:lastModifiedBy>
  <dcterms:created xsi:type="dcterms:W3CDTF">2020-01-20T09:55:21Z</dcterms:created>
  <dcterms:modified xsi:type="dcterms:W3CDTF">2020-05-15T06:51:26Z</dcterms:modified>
</cp:coreProperties>
</file>